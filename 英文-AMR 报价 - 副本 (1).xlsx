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4\Desktop\翻译\26-10-1\"/>
    </mc:Choice>
  </mc:AlternateContent>
  <bookViews>
    <workbookView windowWidth="19200" windowHeight="7000"/>
  </bookViews>
  <sheets>
    <sheet name="Warehouse Quotation Sheet" sheetId="1" r:id="rId1"/>
  </sheets>
  <definedNames>
    <definedName name="_xlnm.Print_Area" localSheetId="0">'Warehouse Quotation Sheet'!$A$2:$L$16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<sst xmlns="http://schemas.openxmlformats.org/spreadsheetml/2006/main" count="58" uniqueCount="43">
  <si>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AMR Price</t>
  </si>
  <si>
    <t>Customer Name:</t>
  </si>
  <si>
    <t>Project Manager</t>
  </si>
  <si>
    <t>Contact Number</t>
  </si>
  <si>
    <t>Date:</t>
  </si>
  <si>
    <t>Quotation Name:</t>
  </si>
  <si>
    <t>Email:</t>
  </si>
  <si>
    <t>Project Name:</t>
  </si>
  <si>
    <t>Item No.</t>
  </si>
  <si>
    <t>Equipment Name</t>
  </si>
  <si>
    <t>Code and Specifications</t>
  </si>
  <si>
    <t>Quantity</t>
  </si>
  <si>
    <t>Unit</t>
  </si>
  <si>
    <t>Manufacturer</t>
  </si>
  <si>
    <t>Unit Price（USD）</t>
  </si>
  <si>
    <t>Total Price（USD）</t>
  </si>
  <si>
    <t>Remarks</t>
  </si>
  <si>
    <t>AMR (Ambient Dynamics Rise and Fall)</t>
  </si>
  <si>
    <t>E600K</t>
  </si>
  <si>
    <t>XINYUE</t>
  </si>
  <si>
    <t>AMR (Laser-guided MR)</t>
  </si>
  <si>
    <t xml:space="preserve"> </t>
  </si>
  <si>
    <t>Automatic Charging Pile</t>
  </si>
  <si>
    <t>220V 20 A</t>
  </si>
  <si>
    <t>Automatic Charging Docking</t>
  </si>
  <si>
    <t>Handheld Charger</t>
  </si>
  <si>
    <t>220V 15 A</t>
  </si>
  <si>
    <t>Network AP</t>
  </si>
  <si>
    <t>Customized Configuration</t>
  </si>
  <si>
    <t>Set</t>
  </si>
  <si>
    <t>Client's Handling</t>
  </si>
  <si>
    <t>AMR Dispatch System</t>
  </si>
  <si>
    <t>Standard Configuration</t>
  </si>
  <si>
    <t>Item</t>
  </si>
  <si>
    <t>Optional Configuration</t>
  </si>
  <si>
    <t>Installation, Implementation, and Commissioning</t>
  </si>
  <si>
    <t>Times</t>
  </si>
  <si>
    <t>TIANYUE</t>
  </si>
  <si>
    <t>Transportation, Packaging, and Insurance</t>
  </si>
  <si>
    <t>FOB</t>
  </si>
  <si>
    <t>Total (USD)</t>
  </si>
  <si>
    <t>Notes: 1. Quotation valid for 15 days;</t>
  </si>
  <si>
    <t xml:space="preserve">Delivery Time: Within 25 working days after prepayment;
Payment Method: 50% prepayment, 50% factory price; 
Warranty Period: One year
Delivery Location: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</si>
</sst>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9">
    <font>
      <sz val="12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6"/>
      <name val="等线"/>
      <charset val="134"/>
    </font>
    <font>
      <b/>
      <sz val="16"/>
      <name val="宋体"/>
      <charset val="134"/>
    </font>
    <font>
      <sz val="11"/>
      <name val="等线"/>
      <charset val="134"/>
    </font>
    <font>
      <b/>
      <sz val="11"/>
      <name val="等线"/>
      <charset val="134"/>
    </font>
    <font>
      <b/>
      <sz val="11"/>
      <name val="宋体"/>
      <charset val="134"/>
    </font>
    <font>
      <sz val="10.5"/>
      <color indexed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000264167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9" fillId="0" borderId="0" applyFont="0" applyFill="0" applyBorder="0" applyProtection="0"/>
    <xf numFmtId="44" fontId="9" fillId="0" borderId="0" applyFont="0" applyFill="0" applyBorder="0" applyProtection="0"/>
    <xf numFmtId="9" fontId="9" fillId="0" borderId="0" applyFont="0" applyFill="0" applyBorder="0" applyProtection="0"/>
    <xf numFmtId="41" fontId="9" fillId="0" borderId="0" applyFont="0" applyFill="0" applyBorder="0" applyProtection="0"/>
    <xf numFmtId="42" fontId="9" fillId="0" borderId="0" applyFon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9" fillId="2" borderId="5" applyNumberFormat="0" applyFont="0" applyProtection="0"/>
    <xf numFmtId="0" fontId="12" fillId="0" borderId="0" applyNumberFormat="0" applyFill="0" applyBorder="0" applyProtection="0"/>
    <xf numFmtId="0" fontId="13" fillId="0" borderId="0" applyNumberFormat="0" applyFill="0" applyBorder="0" applyProtection="0"/>
    <xf numFmtId="0" fontId="14" fillId="0" borderId="0" applyNumberFormat="0" applyFill="0" applyBorder="0" applyProtection="0"/>
    <xf numFmtId="0" fontId="15" fillId="0" borderId="6" applyNumberFormat="0" applyFill="0" applyProtection="0"/>
    <xf numFmtId="0" fontId="16" fillId="0" borderId="6" applyNumberFormat="0" applyFill="0" applyProtection="0"/>
    <xf numFmtId="0" fontId="17" fillId="0" borderId="7" applyNumberFormat="0" applyFill="0" applyProtection="0"/>
    <xf numFmtId="0" fontId="17" fillId="0" borderId="0" applyNumberFormat="0" applyFill="0" applyBorder="0" applyProtection="0"/>
    <xf numFmtId="0" fontId="18" fillId="3" borderId="8" applyNumberFormat="0" applyProtection="0"/>
    <xf numFmtId="0" fontId="19" fillId="4" borderId="9" applyNumberFormat="0" applyProtection="0"/>
    <xf numFmtId="0" fontId="20" fillId="4" borderId="8" applyNumberFormat="0" applyProtection="0"/>
    <xf numFmtId="0" fontId="21" fillId="5" borderId="10" applyNumberFormat="0" applyProtection="0"/>
    <xf numFmtId="0" fontId="22" fillId="0" borderId="11" applyNumberFormat="0" applyFill="0" applyProtection="0"/>
    <xf numFmtId="0" fontId="23" fillId="0" borderId="12" applyNumberFormat="0" applyFill="0" applyProtection="0"/>
    <xf numFmtId="0" fontId="24" fillId="6" borderId="0" applyNumberFormat="0" applyBorder="0" applyProtection="0"/>
    <xf numFmtId="0" fontId="25" fillId="7" borderId="0" applyNumberFormat="0" applyBorder="0" applyProtection="0"/>
    <xf numFmtId="0" fontId="26" fillId="8" borderId="0" applyNumberFormat="0" applyBorder="0" applyProtection="0"/>
    <xf numFmtId="0" fontId="27" fillId="9" borderId="0" applyNumberFormat="0" applyBorder="0" applyProtection="0"/>
    <xf numFmtId="0" fontId="28" fillId="10" borderId="0" applyNumberFormat="0" applyBorder="0" applyProtection="0"/>
    <xf numFmtId="0" fontId="28" fillId="11" borderId="0" applyNumberFormat="0" applyBorder="0" applyProtection="0"/>
    <xf numFmtId="0" fontId="27" fillId="12" borderId="0" applyNumberFormat="0" applyBorder="0" applyProtection="0"/>
    <xf numFmtId="0" fontId="27" fillId="13" borderId="0" applyNumberFormat="0" applyBorder="0" applyProtection="0"/>
    <xf numFmtId="0" fontId="28" fillId="14" borderId="0" applyNumberFormat="0" applyBorder="0" applyProtection="0"/>
    <xf numFmtId="0" fontId="28" fillId="15" borderId="0" applyNumberFormat="0" applyBorder="0" applyProtection="0"/>
    <xf numFmtId="0" fontId="27" fillId="16" borderId="0" applyNumberFormat="0" applyBorder="0" applyProtection="0"/>
    <xf numFmtId="0" fontId="27" fillId="17" borderId="0" applyNumberFormat="0" applyBorder="0" applyProtection="0"/>
    <xf numFmtId="0" fontId="28" fillId="18" borderId="0" applyNumberFormat="0" applyBorder="0" applyProtection="0"/>
    <xf numFmtId="0" fontId="28" fillId="19" borderId="0" applyNumberFormat="0" applyBorder="0" applyProtection="0"/>
    <xf numFmtId="0" fontId="27" fillId="20" borderId="0" applyNumberFormat="0" applyBorder="0" applyProtection="0"/>
    <xf numFmtId="0" fontId="27" fillId="21" borderId="0" applyNumberFormat="0" applyBorder="0" applyProtection="0"/>
    <xf numFmtId="0" fontId="28" fillId="22" borderId="0" applyNumberFormat="0" applyBorder="0" applyProtection="0"/>
    <xf numFmtId="0" fontId="28" fillId="23" borderId="0" applyNumberFormat="0" applyBorder="0" applyProtection="0"/>
    <xf numFmtId="0" fontId="27" fillId="24" borderId="0" applyNumberFormat="0" applyBorder="0" applyProtection="0"/>
    <xf numFmtId="0" fontId="27" fillId="25" borderId="0" applyNumberFormat="0" applyBorder="0" applyProtection="0"/>
    <xf numFmtId="0" fontId="28" fillId="26" borderId="0" applyNumberFormat="0" applyBorder="0" applyProtection="0"/>
    <xf numFmtId="0" fontId="28" fillId="27" borderId="0" applyNumberFormat="0" applyBorder="0" applyProtection="0"/>
    <xf numFmtId="0" fontId="27" fillId="28" borderId="0" applyNumberFormat="0" applyBorder="0" applyProtection="0"/>
    <xf numFmtId="0" fontId="27" fillId="29" borderId="0" applyNumberFormat="0" applyBorder="0" applyProtection="0"/>
    <xf numFmtId="0" fontId="28" fillId="30" borderId="0" applyNumberFormat="0" applyBorder="0" applyProtection="0"/>
    <xf numFmtId="0" fontId="28" fillId="31" borderId="0" applyNumberFormat="0" applyBorder="0" applyProtection="0"/>
    <xf numFmtId="0" fontId="27" fillId="32" borderId="0" applyNumberFormat="0" applyBorder="0" applyProtection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left" vertical="center" wrapText="1"/>
    </xf>
    <xf numFmtId="176" fontId="2" fillId="0" borderId="4" xfId="0" applyNumberFormat="1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176" fontId="8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L20"/>
  <sheetViews>
    <sheetView tabSelected="1" zoomScale="85" zoomScaleNormal="85" workbookViewId="0">
      <selection activeCell="A14" sqref="A14:G14"/>
    </sheetView>
  </sheetViews>
  <sheetFormatPr defaultColWidth="8.925" defaultRowHeight="15"/>
  <cols>
    <col min="1" max="1" width="9.75" style="1" customWidth="1"/>
    <col min="2" max="2" width="19.625" style="1" customWidth="1"/>
    <col min="3" max="3" width="26.75" style="1" customWidth="1"/>
    <col min="4" max="4" width="5.5" style="1" customWidth="1"/>
    <col min="5" max="5" width="8.13333333333333" style="1" customWidth="1"/>
    <col min="6" max="6" width="13.125" style="2" customWidth="1"/>
    <col min="7" max="7" width="11.625" style="3" customWidth="1"/>
    <col min="8" max="8" width="15.25" style="4" customWidth="1"/>
    <col min="9" max="9" width="35.75" style="1" customWidth="1"/>
    <col min="10" max="10" width="13.25" style="1" customWidth="1"/>
    <col min="11" max="11" width="13.125" style="1" customWidth="1"/>
    <col min="12" max="12" width="11.75" style="1" customWidth="1"/>
    <col min="13" max="16384" width="9" style="1"/>
  </cols>
  <sheetData>
    <row r="1" ht="31.2" customHeight="1" spans="1:12">
      <c r="A1" s="5"/>
      <c r="B1" s="5"/>
      <c r="C1" s="6"/>
      <c r="D1" s="6"/>
      <c r="E1" s="6"/>
      <c r="F1" s="6"/>
      <c r="G1" s="6"/>
      <c r="H1" s="6"/>
      <c r="I1" s="6"/>
    </row>
    <row r="2" ht="27" customHeight="1" spans="1:12">
      <c r="A2" s="7" t="s">
        <v>0</v>
      </c>
      <c r="B2" s="8"/>
      <c r="C2" s="8"/>
      <c r="D2" s="8"/>
      <c r="E2" s="8"/>
      <c r="F2" s="8"/>
      <c r="G2" s="8"/>
      <c r="H2" s="8"/>
      <c r="I2" s="8"/>
    </row>
    <row r="3" ht="20.1" customHeight="1" spans="1:12">
      <c r="A3" s="9" t="s">
        <v>1</v>
      </c>
      <c r="B3" s="10"/>
      <c r="C3" s="11"/>
      <c r="D3" s="12" t="s">
        <v>2</v>
      </c>
      <c r="E3" s="13"/>
      <c r="F3" s="14"/>
      <c r="G3" s="12" t="s">
        <v>3</v>
      </c>
      <c r="H3" s="14"/>
      <c r="I3" s="15" t="s">
        <v>4</v>
      </c>
    </row>
    <row r="4" ht="20.1" customHeight="1" spans="1:12">
      <c r="A4" s="9" t="s">
        <v>5</v>
      </c>
      <c r="B4" s="10"/>
      <c r="C4" s="11"/>
      <c r="D4" s="12" t="s">
        <v>6</v>
      </c>
      <c r="E4" s="13"/>
      <c r="F4" s="13"/>
      <c r="G4" s="13"/>
      <c r="H4" s="16"/>
      <c r="I4" s="17"/>
    </row>
    <row r="5" ht="20.1" customHeight="1" spans="1:12">
      <c r="A5" s="9" t="s">
        <v>7</v>
      </c>
      <c r="B5" s="10"/>
      <c r="C5" s="11"/>
      <c r="D5" s="18"/>
      <c r="E5" s="18"/>
      <c r="F5" s="18"/>
      <c r="G5" s="19"/>
      <c r="H5" s="20"/>
      <c r="I5" s="21"/>
    </row>
    <row r="6" ht="41" customHeight="1" spans="1:12">
      <c r="A6" s="9" t="s">
        <v>8</v>
      </c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22" t="s">
        <v>14</v>
      </c>
      <c r="H6" s="22" t="s">
        <v>15</v>
      </c>
      <c r="I6" s="9" t="s">
        <v>16</v>
      </c>
      <c r="J6" s="23"/>
    </row>
    <row r="7" ht="36" customHeight="1" spans="1:12">
      <c r="A7" s="10">
        <v>1</v>
      </c>
      <c r="B7" s="9" t="s">
        <v>17</v>
      </c>
      <c r="C7" s="10" t="s">
        <v>18</v>
      </c>
      <c r="D7" s="10">
        <v>2</v>
      </c>
      <c r="E7" s="9" t="s">
        <v>12</v>
      </c>
      <c r="F7" s="9" t="s">
        <v>19</v>
      </c>
      <c r="G7" s="24">
        <v>11182.79</v>
      </c>
      <c r="H7" s="22">
        <f t="shared" ref="H7:H13" si="0">G7*D7</f>
        <v>22365.58</v>
      </c>
      <c r="I7" s="9" t="s">
        <v>20</v>
      </c>
      <c r="J7" s="23"/>
      <c r="L7" s="1" t="s">
        <v>21</v>
      </c>
    </row>
    <row r="8" ht="31" customHeight="1" spans="1:12">
      <c r="A8" s="10">
        <v>2</v>
      </c>
      <c r="B8" s="9" t="s">
        <v>22</v>
      </c>
      <c r="C8" s="10" t="s">
        <v>23</v>
      </c>
      <c r="D8" s="10">
        <v>2</v>
      </c>
      <c r="E8" s="9" t="s">
        <v>12</v>
      </c>
      <c r="F8" s="9" t="s">
        <v>19</v>
      </c>
      <c r="G8" s="24">
        <v>969.15</v>
      </c>
      <c r="H8" s="22">
        <f t="shared" si="0"/>
        <v>1938.3</v>
      </c>
      <c r="I8" s="9" t="s">
        <v>24</v>
      </c>
      <c r="J8" s="23"/>
      <c r="L8" s="1" t="s">
        <v>21</v>
      </c>
    </row>
    <row r="9" ht="33" customHeight="1" spans="1:12">
      <c r="A9" s="10">
        <v>3</v>
      </c>
      <c r="B9" s="9" t="s">
        <v>25</v>
      </c>
      <c r="C9" s="10" t="s">
        <v>26</v>
      </c>
      <c r="D9" s="10">
        <v>1</v>
      </c>
      <c r="E9" s="9" t="s">
        <v>12</v>
      </c>
      <c r="F9" s="9" t="s">
        <v>19</v>
      </c>
      <c r="G9" s="24">
        <v>298.26</v>
      </c>
      <c r="H9" s="22">
        <f t="shared" si="0"/>
        <v>298.26</v>
      </c>
      <c r="I9" s="10"/>
      <c r="J9" s="23"/>
      <c r="L9" s="1" t="s">
        <v>21</v>
      </c>
    </row>
    <row r="10" ht="33" customHeight="1" spans="1:12">
      <c r="A10" s="10">
        <v>4</v>
      </c>
      <c r="B10" s="9" t="s">
        <v>27</v>
      </c>
      <c r="C10" s="9" t="s">
        <v>28</v>
      </c>
      <c r="D10" s="10">
        <v>1</v>
      </c>
      <c r="E10" s="9" t="s">
        <v>29</v>
      </c>
      <c r="F10" s="9" t="s">
        <v>19</v>
      </c>
      <c r="G10" s="24">
        <v>0</v>
      </c>
      <c r="H10" s="22">
        <f t="shared" si="0"/>
        <v>0</v>
      </c>
      <c r="I10" s="9" t="s">
        <v>30</v>
      </c>
      <c r="J10" s="23"/>
      <c r="L10" s="1" t="s">
        <v>21</v>
      </c>
    </row>
    <row r="11" ht="43" customHeight="1" spans="1:12">
      <c r="A11" s="10">
        <v>5</v>
      </c>
      <c r="B11" s="9" t="s">
        <v>31</v>
      </c>
      <c r="C11" s="9" t="s">
        <v>32</v>
      </c>
      <c r="D11" s="10">
        <v>1</v>
      </c>
      <c r="E11" s="9" t="s">
        <v>33</v>
      </c>
      <c r="F11" s="9" t="s">
        <v>19</v>
      </c>
      <c r="G11" s="24">
        <v>7455</v>
      </c>
      <c r="H11" s="22">
        <f t="shared" si="0"/>
        <v>7455</v>
      </c>
      <c r="I11" s="9" t="s">
        <v>34</v>
      </c>
      <c r="J11" s="3"/>
    </row>
    <row r="12" ht="43.05" customHeight="1" spans="1:12">
      <c r="A12" s="10">
        <v>6</v>
      </c>
      <c r="B12" s="9" t="s">
        <v>35</v>
      </c>
      <c r="C12" s="9" t="s">
        <v>32</v>
      </c>
      <c r="D12" s="10">
        <v>1</v>
      </c>
      <c r="E12" s="9" t="s">
        <v>36</v>
      </c>
      <c r="F12" s="9" t="s">
        <v>37</v>
      </c>
      <c r="G12" s="24">
        <v>0</v>
      </c>
      <c r="H12" s="22">
        <f t="shared" si="0"/>
        <v>0</v>
      </c>
      <c r="I12" s="9" t="s">
        <v>30</v>
      </c>
      <c r="J12" s="3"/>
    </row>
    <row r="13" ht="43.05" customHeight="1" spans="1:12">
      <c r="A13" s="10">
        <v>7</v>
      </c>
      <c r="B13" s="9" t="s">
        <v>38</v>
      </c>
      <c r="C13" s="9" t="s">
        <v>32</v>
      </c>
      <c r="D13" s="10">
        <v>1</v>
      </c>
      <c r="E13" s="9" t="s">
        <v>36</v>
      </c>
      <c r="F13" s="9" t="s">
        <v>37</v>
      </c>
      <c r="G13" s="24">
        <v>1491</v>
      </c>
      <c r="H13" s="22">
        <f t="shared" si="0"/>
        <v>1491</v>
      </c>
      <c r="I13" s="10" t="s">
        <v>39</v>
      </c>
      <c r="J13" s="3"/>
    </row>
    <row r="14" ht="20.1" customHeight="1" spans="1:12">
      <c r="A14" s="25" t="s">
        <v>40</v>
      </c>
      <c r="B14" s="26"/>
      <c r="C14" s="26"/>
      <c r="D14" s="26"/>
      <c r="E14" s="26"/>
      <c r="F14" s="26"/>
      <c r="G14" s="27"/>
      <c r="H14" s="22">
        <f>SUM(H7:I13)</f>
        <v>33548.14</v>
      </c>
      <c r="I14" s="10"/>
      <c r="J14" s="3"/>
    </row>
    <row r="15" ht="24.75" customHeight="1" spans="1:12">
      <c r="A15" s="28" t="s">
        <v>41</v>
      </c>
      <c r="B15" s="29"/>
      <c r="C15" s="29"/>
      <c r="D15" s="29"/>
      <c r="E15" s="29"/>
      <c r="F15" s="29"/>
      <c r="G15" s="29"/>
      <c r="H15" s="29"/>
      <c r="I15" s="30"/>
      <c r="J15" s="3"/>
    </row>
    <row r="16" ht="65.25" customHeight="1" spans="1:12">
      <c r="A16" s="28" t="s">
        <v>42</v>
      </c>
      <c r="B16" s="29"/>
      <c r="C16" s="29"/>
      <c r="D16" s="29"/>
      <c r="E16" s="29"/>
      <c r="F16" s="29"/>
      <c r="G16" s="29"/>
      <c r="H16" s="29"/>
      <c r="I16" s="30"/>
      <c r="J16" s="3"/>
    </row>
    <row r="17" ht="14.25" customHeight="1" spans="10:12">
      <c r="L17" s="31"/>
    </row>
    <row r="18" ht="20.1" customHeight="1" spans="10:12">
      <c r="J18" s="4"/>
      <c r="L18" s="31"/>
    </row>
    <row r="19" ht="24" customHeight="1"/>
    <row r="20" ht="63" customHeight="1"/>
  </sheetData>
  <mergeCells count="13">
    <mergeCell ref="A1:I1"/>
    <mergeCell ref="A2:I2"/>
    <mergeCell ref="A3:B3"/>
    <mergeCell ref="D3:F3"/>
    <mergeCell ref="G3:H3"/>
    <mergeCell ref="A4:B4"/>
    <mergeCell ref="D4:G4"/>
    <mergeCell ref="A5:B5"/>
    <mergeCell ref="C5:G5"/>
    <mergeCell ref="H5:I5"/>
    <mergeCell ref="A14:G14"/>
    <mergeCell ref="A15:I15"/>
    <mergeCell ref="A16:I16"/>
  </mergeCells>
  <printOptions horizontalCentered="1" verticalCentered="1"/>
  <pageMargins left="0.75" right="0.75" top="1" bottom="1" header="0.5" footer="0.5"/>
  <pageSetup paperSize="9" scale="67" orientation="landscape" errors="NA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556452-45a7-4710-9035-cea77904d0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Warehouse Quotation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WXF</dc:creator>
  <cp:lastModifiedBy>sosoliang</cp:lastModifiedBy>
  <cp:revision>1</cp:revision>
  <dcterms:created xsi:type="dcterms:W3CDTF">1996-12-17T01:32:00Z</dcterms:created>
  <cp:lastPrinted>2019-11-06T09:56:00Z</cp:lastPrinted>
  <dcterms:modified xsi:type="dcterms:W3CDTF">2026-10-02T04:46:09Z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CFE3027D6770433495C8018BD36243A1_13</vt:lpwstr>
  </property>
  <property fmtid="{D5CDD505-2E9C-101B-9397-08002B2CF9AE}" pid="4" name="CalculationRule">
    <vt:i4>0</vt:i4>
  </property>
</Properties>
</file>